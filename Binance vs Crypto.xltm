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ko\Documents\Crypto\Excel Binance.com Vs Crypto.com\Files\Crypto.com-VS-Binance-Crypto-PriceTracker-Comparer\"/>
    </mc:Choice>
  </mc:AlternateContent>
  <xr:revisionPtr revIDLastSave="0" documentId="13_ncr:1_{B406CE36-61BD-4A43-B87B-78755E9661D0}" xr6:coauthVersionLast="46" xr6:coauthVersionMax="46" xr10:uidLastSave="{00000000-0000-0000-0000-000000000000}"/>
  <bookViews>
    <workbookView xWindow="-120" yWindow="-120" windowWidth="29040" windowHeight="15840" activeTab="1" xr2:uid="{EB60D7D9-9980-4A03-AC52-18BF47E805AF}"/>
  </bookViews>
  <sheets>
    <sheet name="Macro1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6" i="1" l="1"/>
  <c r="T26" i="1"/>
  <c r="S27" i="1" a="1"/>
  <c r="T27" i="1" a="1"/>
  <c r="T27" i="1" l="1"/>
  <c r="T29" i="1" s="1"/>
  <c r="S27" i="1"/>
  <c r="S29" i="1" s="1"/>
  <c r="S32" i="1" l="1"/>
  <c r="S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<sst xmlns="http://schemas.openxmlformats.org/spreadsheetml/2006/main" count="91" uniqueCount="87">
  <si>
    <t>Crypto.com trading fees</t>
  </si>
  <si>
    <t>If you pay trading fees using CRO, and you stake CRO, you will earn additional discounts on trading fees (maker and taker)</t>
  </si>
  <si>
    <t>Level</t>
  </si>
  <si>
    <t>30d trading volume required ($USD)</t>
  </si>
  <si>
    <t>Maker Fee</t>
  </si>
  <si>
    <t>Taker Fee</t>
  </si>
  <si>
    <t>CRO Staked</t>
  </si>
  <si>
    <t>Discount off trading fees (percentage)</t>
  </si>
  <si>
    <t>Level 1</t>
  </si>
  <si>
    <t>$0 - $25,000</t>
  </si>
  <si>
    <t>Level 2</t>
  </si>
  <si>
    <t>$25,001 - $50,000</t>
  </si>
  <si>
    <t>(10% off trading fees)</t>
  </si>
  <si>
    <t>Level 3</t>
  </si>
  <si>
    <t>$50,001 - $100,000</t>
  </si>
  <si>
    <t>Level 4</t>
  </si>
  <si>
    <t>$100,001 - $250,000</t>
  </si>
  <si>
    <t>Level 5</t>
  </si>
  <si>
    <t>$250,001 - $1,000,000</t>
  </si>
  <si>
    <t>Level 6</t>
  </si>
  <si>
    <t>$1,000,001 - $20,000,000</t>
  </si>
  <si>
    <t>Level 7</t>
  </si>
  <si>
    <t>$20,000,001 - $100,000,000</t>
  </si>
  <si>
    <t>Level 8</t>
  </si>
  <si>
    <t>$100,000,001 - $200,000,000</t>
  </si>
  <si>
    <t>Level 9</t>
  </si>
  <si>
    <t>$200,000,001 and above</t>
  </si>
  <si>
    <t>(100% off, you pay no trading fees)</t>
  </si>
  <si>
    <t>Binance Trading Fees</t>
  </si>
  <si>
    <t>Binance requires a 30 day trading volume based on Bitcoin and BNB in balance to recieve VIP Levels</t>
  </si>
  <si>
    <t>30d Trading Volume (Binance)</t>
  </si>
  <si>
    <t>BNB Balance</t>
  </si>
  <si>
    <t>If trading using BNB, recieve a flat 25% discount on all trading fees</t>
  </si>
  <si>
    <t>VIP 0</t>
  </si>
  <si>
    <t>&lt; 50 BTC</t>
  </si>
  <si>
    <t>≥ 0 BNB</t>
  </si>
  <si>
    <t>Recieve additional discounts for using refferals (I don't know how this one works https://www.binance.com/en/fee/trading</t>
  </si>
  <si>
    <t>VIP 1</t>
  </si>
  <si>
    <t>≥ 50 BTC</t>
  </si>
  <si>
    <t>≥ 50 BNB</t>
  </si>
  <si>
    <t>VIP 2</t>
  </si>
  <si>
    <t>≥ 500 BTC</t>
  </si>
  <si>
    <t>≥ 200 BNB</t>
  </si>
  <si>
    <t>Makers are buying/selling at a different price from market (usually going above/below the market price)</t>
  </si>
  <si>
    <t>VIP 3</t>
  </si>
  <si>
    <t>≥ 1500 BTC</t>
  </si>
  <si>
    <t>≥ 500 BNB</t>
  </si>
  <si>
    <t>Takers are buying/selling at the immediate market price</t>
  </si>
  <si>
    <t>VIP 4</t>
  </si>
  <si>
    <t>≥ 4500 BTC</t>
  </si>
  <si>
    <t>≥ 1000 BNB</t>
  </si>
  <si>
    <t>VIP 5</t>
  </si>
  <si>
    <t>≥ 10000 BTC</t>
  </si>
  <si>
    <t>≥ 2000 BNB</t>
  </si>
  <si>
    <t>Assuming X amount of ADA, how much would you make on binance vs crypto.com ? (Only Maker Fees)</t>
  </si>
  <si>
    <t>VIP 6</t>
  </si>
  <si>
    <t>≥ 20000 BTC</t>
  </si>
  <si>
    <t>≥ 3500 BNB</t>
  </si>
  <si>
    <t>crypto.com</t>
  </si>
  <si>
    <t>Binance</t>
  </si>
  <si>
    <t>VIP 7</t>
  </si>
  <si>
    <t>≥ 40000 BTC</t>
  </si>
  <si>
    <t>≥ 6000 BNB</t>
  </si>
  <si>
    <t>$USD Price</t>
  </si>
  <si>
    <t>VIP 8</t>
  </si>
  <si>
    <t>≥ 80000 BTC</t>
  </si>
  <si>
    <t>≥ 9000 BNB</t>
  </si>
  <si>
    <t>Tier Level (0 index)</t>
  </si>
  <si>
    <t>VIP 9</t>
  </si>
  <si>
    <t>≥ 150000 BTC</t>
  </si>
  <si>
    <t>≥ 11000 BNB</t>
  </si>
  <si>
    <t>ADA Amount</t>
  </si>
  <si>
    <t>Max level on binance requires more than a $6.8 Billion USD trade volume as of right now</t>
  </si>
  <si>
    <t>Revenue ($USD)</t>
  </si>
  <si>
    <t>VIP 4 requires around $200 Million USD trading volume (not including BNB balance)</t>
  </si>
  <si>
    <t>Overall for high level amounts of money, crypto.com is clearly superior in terms of trading fees (if you're not a billionaire)</t>
  </si>
  <si>
    <t>Net Profit</t>
  </si>
  <si>
    <t>However, if someone were willing to stake $700 Thousand USD as of right now into CRO, then they'd get 100% on all trading fees</t>
  </si>
  <si>
    <t>Difference</t>
  </si>
  <si>
    <t>So even if you were a billionaire, crypto.com looks like it still wins</t>
  </si>
  <si>
    <t>Winner:</t>
  </si>
  <si>
    <t>However, with no staking involved, and less than a $2 Million USD trading volume, binance wins on trading fees</t>
  </si>
  <si>
    <t>Gas prices vary based on currency, not in exchange platform. Both websites contain methods to trade in-platform for no gas fee.</t>
  </si>
  <si>
    <t>Withdraw/Deposit rates may vary (Converting USD to bitcoin)</t>
  </si>
  <si>
    <t>VIP 0 and 1 on Binance beats crypto.com unless if you stake around $70K USD into CRO, in which case crypto.com wins in trading fees</t>
  </si>
  <si>
    <t>Crypto:</t>
  </si>
  <si>
    <t>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</si>
</sst>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0" fontId="0" fillId="0" borderId="0" xfId="0" applyNumberFormat="1"/>
    <xf numFmtId="9" fontId="0" fillId="0" borderId="0" xfId="0" applyNumberFormat="1"/>
    <xf numFmtId="4" fontId="0" fillId="0" borderId="0" xfId="0" applyNumberFormat="1"/>
    <xf numFmtId="8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400050</xdr:colOff>
      <xdr:row>29</xdr:row>
      <xdr:rowOff>57150</xdr:rowOff>
    </xdr:from>
    <xdr:to>
      <xdr:col>22</xdr:col>
      <xdr:colOff>371475</xdr:colOff>
      <xdr:row>30</xdr:row>
      <xdr:rowOff>161925</xdr:rowOff>
    </xdr:to>
    <xdr:sp macro="[0]!updateBinanceCryptoInfo" textlink="">
      <xdr:nvSpPr>
        <xdr:cNvPr id="2" name="Rectangle 1">
          <a:extLst>
            <a:ext uri="{FF2B5EF4-FFF2-40B4-BE49-F238E27FC236}">
              <a16:creationId xmlns:a16="http://schemas.microsoft.com/office/drawing/2014/main" id="{61FDDE20-63DA-483D-8666-650E63866B7A}"/>
            </a:ext>
          </a:extLst>
        </xdr:cNvPr>
        <xdr:cNvSpPr/>
      </xdr:nvSpPr>
      <xdr:spPr>
        <a:xfrm>
          <a:off x="12963525" y="5581650"/>
          <a:ext cx="1190625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NZ" sz="1100"/>
            <a:t>update prices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4A4B74F-F437-4475-B453-ADA27CBB7A60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375B-C76D-4B6A-98AB-15B74BF2C514}">
  <sheetPr codeName="Sheet1"/>
  <dimension ref="A1:T36"/>
  <sheetViews>
    <sheetView tabSelected="1" topLeftCell="A4" workbookViewId="0">
      <selection activeCell="L28" sqref="L28"/>
    </sheetView>
  </sheetViews>
  <sheetFormatPr defaultRowHeight="15" x14ac:dyDescent="0.25"/>
  <cols>
    <col min="7" max="7" width="12.7109375" bestFit="1" customWidth="1"/>
    <col min="18" max="18" width="20.28515625" customWidth="1"/>
    <col min="19" max="19" width="13.7109375" customWidth="1"/>
    <col min="20" max="20" width="14" customWidth="1"/>
  </cols>
  <sheetData>
    <row r="1" spans="1:19" x14ac:dyDescent="0.25">
      <c r="A1" t="s">
        <v>0</v>
      </c>
      <c r="G1" t="s">
        <v>1</v>
      </c>
    </row>
    <row r="2" spans="1:19" x14ac:dyDescent="0.25">
      <c r="A2" t="s">
        <v>2</v>
      </c>
      <c r="B2" t="s">
        <v>3</v>
      </c>
      <c r="D2" t="s">
        <v>4</v>
      </c>
      <c r="E2" t="s">
        <v>5</v>
      </c>
      <c r="G2" t="s">
        <v>6</v>
      </c>
      <c r="H2" t="s">
        <v>7</v>
      </c>
    </row>
    <row r="3" spans="1:19" x14ac:dyDescent="0.25">
      <c r="A3" t="s">
        <v>8</v>
      </c>
      <c r="B3" t="s">
        <v>9</v>
      </c>
      <c r="D3" s="1">
        <v>4.0000000000000001E-3</v>
      </c>
      <c r="E3" s="1">
        <v>4.0000000000000001E-3</v>
      </c>
      <c r="G3">
        <v>0</v>
      </c>
      <c r="H3" s="2">
        <v>0</v>
      </c>
    </row>
    <row r="4" spans="1:19" x14ac:dyDescent="0.25">
      <c r="A4" t="s">
        <v>10</v>
      </c>
      <c r="B4" t="s">
        <v>11</v>
      </c>
      <c r="D4" s="1">
        <v>3.5000000000000001E-3</v>
      </c>
      <c r="E4" s="1">
        <v>3.5000000000000001E-3</v>
      </c>
      <c r="G4" s="3">
        <v>5000</v>
      </c>
      <c r="H4" s="2">
        <v>0.1</v>
      </c>
      <c r="I4" t="s">
        <v>12</v>
      </c>
    </row>
    <row r="5" spans="1:19" x14ac:dyDescent="0.25">
      <c r="A5" t="s">
        <v>13</v>
      </c>
      <c r="B5" t="s">
        <v>14</v>
      </c>
      <c r="D5" s="1">
        <v>1.5E-3</v>
      </c>
      <c r="E5" s="1">
        <v>2.5000000000000001E-3</v>
      </c>
      <c r="G5" s="3">
        <v>10000</v>
      </c>
      <c r="H5" s="2">
        <v>0.2</v>
      </c>
    </row>
    <row r="6" spans="1:19" x14ac:dyDescent="0.25">
      <c r="A6" t="s">
        <v>15</v>
      </c>
      <c r="B6" t="s">
        <v>16</v>
      </c>
      <c r="D6" s="1">
        <v>1E-3</v>
      </c>
      <c r="E6" s="1">
        <v>1.6000000000000001E-3</v>
      </c>
      <c r="G6" s="3">
        <v>50000</v>
      </c>
      <c r="H6" s="2">
        <v>0.4</v>
      </c>
    </row>
    <row r="7" spans="1:19" x14ac:dyDescent="0.25">
      <c r="A7" t="s">
        <v>17</v>
      </c>
      <c r="B7" t="s">
        <v>18</v>
      </c>
      <c r="D7" s="1">
        <v>8.9999999999999998E-4</v>
      </c>
      <c r="E7" s="1">
        <v>1.5E-3</v>
      </c>
      <c r="G7" s="3">
        <v>100000</v>
      </c>
      <c r="H7" s="2">
        <v>0.6</v>
      </c>
    </row>
    <row r="8" spans="1:19" x14ac:dyDescent="0.25">
      <c r="A8" t="s">
        <v>19</v>
      </c>
      <c r="B8" t="s">
        <v>20</v>
      </c>
      <c r="D8" s="1">
        <v>8.0000000000000004E-4</v>
      </c>
      <c r="E8" s="1">
        <v>1.4E-3</v>
      </c>
      <c r="G8" s="3">
        <v>500000</v>
      </c>
      <c r="H8" s="2">
        <v>0.7</v>
      </c>
    </row>
    <row r="9" spans="1:19" x14ac:dyDescent="0.25">
      <c r="A9" t="s">
        <v>21</v>
      </c>
      <c r="B9" t="s">
        <v>22</v>
      </c>
      <c r="D9" s="1">
        <v>6.9999999999999999E-4</v>
      </c>
      <c r="E9" s="1">
        <v>1.2999999999999999E-3</v>
      </c>
      <c r="G9" s="3">
        <v>1000000</v>
      </c>
      <c r="H9" s="2">
        <v>0.8</v>
      </c>
    </row>
    <row r="10" spans="1:19" x14ac:dyDescent="0.25">
      <c r="A10" t="s">
        <v>23</v>
      </c>
      <c r="B10" t="s">
        <v>24</v>
      </c>
      <c r="D10" s="1">
        <v>5.9999999999999995E-4</v>
      </c>
      <c r="E10" s="1">
        <v>1.1999999999999999E-3</v>
      </c>
      <c r="G10" s="3">
        <v>5000000</v>
      </c>
      <c r="H10" s="2">
        <v>0.9</v>
      </c>
    </row>
    <row r="11" spans="1:19" x14ac:dyDescent="0.25">
      <c r="A11" t="s">
        <v>25</v>
      </c>
      <c r="B11" t="s">
        <v>26</v>
      </c>
      <c r="D11" s="1">
        <v>4.0000000000000002E-4</v>
      </c>
      <c r="E11" s="1">
        <v>1E-3</v>
      </c>
      <c r="G11" s="3">
        <v>50000000</v>
      </c>
      <c r="H11" s="2">
        <v>1</v>
      </c>
      <c r="I11" t="s">
        <v>27</v>
      </c>
    </row>
    <row r="14" spans="1:19" x14ac:dyDescent="0.25">
      <c r="A14" t="s">
        <v>28</v>
      </c>
      <c r="C14" t="s">
        <v>29</v>
      </c>
    </row>
    <row r="15" spans="1:19" x14ac:dyDescent="0.25">
      <c r="A15" t="s">
        <v>2</v>
      </c>
      <c r="B15" t="s">
        <v>30</v>
      </c>
      <c r="C15" t="s">
        <v>31</v>
      </c>
      <c r="D15" t="s">
        <v>4</v>
      </c>
      <c r="E15" t="s">
        <v>5</v>
      </c>
      <c r="G15" t="s">
        <v>32</v>
      </c>
    </row>
    <row r="16" spans="1:19" x14ac:dyDescent="0.25">
      <c r="A16" t="s">
        <v>33</v>
      </c>
      <c r="B16" t="s">
        <v>34</v>
      </c>
      <c r="C16" t="s">
        <v>35</v>
      </c>
      <c r="D16" s="1">
        <v>1E-3</v>
      </c>
      <c r="E16" s="1">
        <v>1E-3</v>
      </c>
      <c r="G16" t="s">
        <v>36</v>
      </c>
      <c r="S16">
        <v>2.8468</v>
      </c>
    </row>
    <row r="17" spans="1:20" x14ac:dyDescent="0.25">
      <c r="A17" t="s">
        <v>37</v>
      </c>
      <c r="B17" t="s">
        <v>38</v>
      </c>
      <c r="C17" t="s">
        <v>39</v>
      </c>
      <c r="D17" s="1">
        <v>8.9999999999999998E-4</v>
      </c>
      <c r="E17" s="1">
        <v>1E-3</v>
      </c>
    </row>
    <row r="18" spans="1:20" x14ac:dyDescent="0.25">
      <c r="A18" t="s">
        <v>40</v>
      </c>
      <c r="B18" t="s">
        <v>41</v>
      </c>
      <c r="C18" t="s">
        <v>42</v>
      </c>
      <c r="D18" s="1">
        <v>8.0000000000000004E-4</v>
      </c>
      <c r="E18" s="1">
        <v>1E-3</v>
      </c>
      <c r="G18" t="s">
        <v>43</v>
      </c>
    </row>
    <row r="19" spans="1:20" x14ac:dyDescent="0.25">
      <c r="A19" t="s">
        <v>44</v>
      </c>
      <c r="B19" t="s">
        <v>45</v>
      </c>
      <c r="C19" t="s">
        <v>46</v>
      </c>
      <c r="D19" s="1">
        <v>6.9999999999999999E-4</v>
      </c>
      <c r="E19" s="1">
        <v>1E-3</v>
      </c>
      <c r="G19" t="s">
        <v>47</v>
      </c>
    </row>
    <row r="20" spans="1:20" x14ac:dyDescent="0.25">
      <c r="A20" t="s">
        <v>48</v>
      </c>
      <c r="B20" t="s">
        <v>49</v>
      </c>
      <c r="C20" t="s">
        <v>50</v>
      </c>
      <c r="D20" s="1">
        <v>6.9999999999999999E-4</v>
      </c>
      <c r="E20" s="1">
        <v>8.9999999999999998E-4</v>
      </c>
    </row>
    <row r="21" spans="1:20" x14ac:dyDescent="0.25">
      <c r="A21" t="s">
        <v>51</v>
      </c>
      <c r="B21" t="s">
        <v>52</v>
      </c>
      <c r="C21" t="s">
        <v>53</v>
      </c>
      <c r="D21" s="1">
        <v>5.9999999999999995E-4</v>
      </c>
      <c r="E21" s="1">
        <v>8.0000000000000004E-4</v>
      </c>
      <c r="R21" s="5" t="s">
        <v>54</v>
      </c>
    </row>
    <row r="22" spans="1:20" x14ac:dyDescent="0.25">
      <c r="A22" t="s">
        <v>55</v>
      </c>
      <c r="B22" t="s">
        <v>56</v>
      </c>
      <c r="C22" t="s">
        <v>57</v>
      </c>
      <c r="D22" s="1">
        <v>5.0000000000000001E-4</v>
      </c>
      <c r="E22" s="1">
        <v>6.9999999999999999E-4</v>
      </c>
      <c r="P22" t="s">
        <v>85</v>
      </c>
      <c r="S22" t="s">
        <v>58</v>
      </c>
      <c r="T22" t="s">
        <v>59</v>
      </c>
    </row>
    <row r="23" spans="1:20" x14ac:dyDescent="0.25">
      <c r="A23" t="s">
        <v>60</v>
      </c>
      <c r="B23" t="s">
        <v>61</v>
      </c>
      <c r="C23" t="s">
        <v>62</v>
      </c>
      <c r="D23" s="1">
        <v>4.0000000000000002E-4</v>
      </c>
      <c r="E23" s="1">
        <v>5.9999999999999995E-4</v>
      </c>
      <c r="P23" t="s">
        <v>86</v>
      </c>
      <c r="R23" t="s">
        <v>63</v>
      </c>
      <c r="S23">
        <v>2.8</v>
      </c>
      <c r="T23">
        <v>2.8595000000000002</v>
      </c>
    </row>
    <row r="24" spans="1:20" x14ac:dyDescent="0.25">
      <c r="A24" t="s">
        <v>64</v>
      </c>
      <c r="B24" t="s">
        <v>65</v>
      </c>
      <c r="C24" t="s">
        <v>66</v>
      </c>
      <c r="D24" s="1">
        <v>2.9999999999999997E-4</v>
      </c>
      <c r="E24" s="1">
        <v>5.0000000000000001E-4</v>
      </c>
      <c r="R24" t="s">
        <v>67</v>
      </c>
      <c r="S24">
        <v>0</v>
      </c>
      <c r="T24">
        <v>0</v>
      </c>
    </row>
    <row r="25" spans="1:20" x14ac:dyDescent="0.25">
      <c r="A25" t="s">
        <v>68</v>
      </c>
      <c r="B25" t="s">
        <v>69</v>
      </c>
      <c r="C25" t="s">
        <v>70</v>
      </c>
      <c r="D25" s="1">
        <v>2.0000000000000001E-4</v>
      </c>
      <c r="E25" s="1">
        <v>4.0000000000000002E-4</v>
      </c>
      <c r="R25" t="s">
        <v>71</v>
      </c>
      <c r="S25">
        <v>20000</v>
      </c>
      <c r="T25">
        <v>20000</v>
      </c>
    </row>
    <row r="26" spans="1:20" x14ac:dyDescent="0.25">
      <c r="B26" t="s">
        <v>72</v>
      </c>
      <c r="R26" t="s">
        <v>73</v>
      </c>
      <c r="S26" s="4">
        <f>S25*S23</f>
        <v>56000</v>
      </c>
      <c r="T26" s="4">
        <f>T25*T23</f>
        <v>57190</v>
      </c>
    </row>
    <row r="27" spans="1:20" x14ac:dyDescent="0.25">
      <c r="B27" t="s">
        <v>74</v>
      </c>
      <c r="R27" t="s">
        <v>4</v>
      </c>
      <c r="S27" s="4" cm="1">
        <f t="array" aca="1" ref="S27" ca="1">INDIRECT(ADDRESS(3+S24, 4))*S26</f>
        <v>224</v>
      </c>
      <c r="T27" s="4" cm="1">
        <f t="array" aca="1" ref="T27" ca="1">INDIRECT(ADDRESS(16+T24, 4))*T26</f>
        <v>57.19</v>
      </c>
    </row>
    <row r="28" spans="1:20" x14ac:dyDescent="0.25">
      <c r="B28" t="s">
        <v>75</v>
      </c>
    </row>
    <row r="29" spans="1:20" x14ac:dyDescent="0.25">
      <c r="B29" t="s">
        <v>77</v>
      </c>
      <c r="R29" t="s">
        <v>76</v>
      </c>
      <c r="S29" s="4">
        <f ca="1">S26-S27</f>
        <v>55776</v>
      </c>
      <c r="T29" s="4">
        <f ca="1">T26-T27</f>
        <v>57132.81</v>
      </c>
    </row>
    <row r="30" spans="1:20" x14ac:dyDescent="0.25">
      <c r="B30" t="s">
        <v>79</v>
      </c>
      <c r="R30" t="s">
        <v>78</v>
      </c>
      <c r="S30" s="4">
        <f ca="1">ABS(S29-T29)</f>
        <v>1356.8099999999977</v>
      </c>
    </row>
    <row r="32" spans="1:20" x14ac:dyDescent="0.25">
      <c r="B32" t="s">
        <v>81</v>
      </c>
      <c r="R32" t="s">
        <v>80</v>
      </c>
      <c r="S32" t="str">
        <f ca="1">IF(S29&gt;T29, "crypto.com", "Binance")</f>
        <v>Binance</v>
      </c>
    </row>
    <row r="33" spans="2:2" x14ac:dyDescent="0.25">
      <c r="B33" t="s">
        <v>84</v>
      </c>
    </row>
    <row r="35" spans="2:2" x14ac:dyDescent="0.25">
      <c r="B35" t="s">
        <v>82</v>
      </c>
    </row>
    <row r="36" spans="2:2" x14ac:dyDescent="0.25">
      <c r="B36" t="s">
        <v>83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74255F-BE76-4AB8-82CB-101DB7B6E2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Minko</dc:creator>
  <cp:lastModifiedBy>Minko</cp:lastModifiedBy>
  <dcterms:created xsi:type="dcterms:W3CDTF">2021-08-24T01:39:03Z</dcterms:created>
  <dcterms:modified xsi:type="dcterms:W3CDTF">2021-08-24T03:23:43Z</dcterms:modified>
</cp:coreProperties>
</file>